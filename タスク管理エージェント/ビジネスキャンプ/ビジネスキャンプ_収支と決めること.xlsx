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収支シミュレーション" sheetId="1" state="visible" r:id="rId3"/>
    <sheet name="時間割" sheetId="2" state="visible" r:id="rId4"/>
    <sheet name="決めること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<sst xmlns="http://schemas.openxmlformats.org/spreadsheetml/2006/main" count="242" uniqueCount="153">
  <si>
    <t xml:space="preserve">ビジネスキャンプ「AI旅行会社」 収支シミュレーション</t>
  </si>
  <si>
    <t xml:space="preserve">青字=入力値（変更すると下の計算が変わる）／黄色=確認が必要な前提／金額は円</t>
  </si>
  <si>
    <t xml:space="preserve">前提</t>
  </si>
  <si>
    <t xml:space="preserve">値</t>
  </si>
  <si>
    <t xml:space="preserve">単位</t>
  </si>
  <si>
    <t xml:space="preserve">根拠・メモ</t>
  </si>
  <si>
    <t xml:space="preserve">参加者数（子ども）</t>
  </si>
  <si>
    <t xml:space="preserve">人</t>
  </si>
  <si>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さん想定</t>
    </r>
  </si>
  <si>
    <t xml:space="preserve">参加費（1人）</t>
  </si>
  <si>
    <t xml:space="preserve">円</t>
  </si>
  <si>
    <t xml:space="preserve">関西3.8万と関東4.2万の間（Kazuさん決定）</t>
  </si>
  <si>
    <t xml:space="preserve">スタッフ人数</t>
  </si>
  <si>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人（</t>
    </r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さん）。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にすると費用が増える</t>
    </r>
  </si>
  <si>
    <t xml:space="preserve">宿泊＋3食 子ども（1人）</t>
  </si>
  <si>
    <r>
      <rPr>
        <sz val="11"/>
        <rFont val="WenQuanYi Zen Hei"/>
        <family val="2"/>
      </rPr>
      <t xml:space="preserve">宿泊</t>
    </r>
    <r>
      <rPr>
        <sz val="11"/>
        <rFont val="Arial"/>
        <family val="0"/>
        <charset val="1"/>
      </rPr>
      <t xml:space="preserve">1,100</t>
    </r>
    <r>
      <rPr>
        <sz val="11"/>
        <rFont val="WenQuanYi Zen Hei"/>
        <family val="2"/>
      </rPr>
      <t xml:space="preserve">円＋宿泊税</t>
    </r>
    <r>
      <rPr>
        <sz val="11"/>
        <rFont val="Arial"/>
        <family val="0"/>
        <charset val="1"/>
      </rPr>
      <t xml:space="preserve">200</t>
    </r>
    <r>
      <rPr>
        <sz val="11"/>
        <rFont val="WenQuanYi Zen Hei"/>
        <family val="2"/>
      </rPr>
      <t xml:space="preserve">円＋朝食</t>
    </r>
    <r>
      <rPr>
        <sz val="11"/>
        <rFont val="Arial"/>
        <family val="0"/>
        <charset val="1"/>
      </rPr>
      <t xml:space="preserve">800</t>
    </r>
    <r>
      <rPr>
        <sz val="11"/>
        <rFont val="WenQuanYi Zen Hei"/>
        <family val="2"/>
      </rPr>
      <t xml:space="preserve">円＋昼食</t>
    </r>
    <r>
      <rPr>
        <sz val="11"/>
        <rFont val="Arial"/>
        <family val="0"/>
        <charset val="1"/>
      </rPr>
      <t xml:space="preserve">1,000</t>
    </r>
    <r>
      <rPr>
        <sz val="11"/>
        <rFont val="WenQuanYi Zen Hei"/>
        <family val="2"/>
      </rPr>
      <t xml:space="preserve">円＋鍋</t>
    </r>
    <r>
      <rPr>
        <sz val="11"/>
        <rFont val="Arial"/>
        <family val="0"/>
        <charset val="1"/>
      </rPr>
      <t xml:space="preserve">3,000</t>
    </r>
    <r>
      <rPr>
        <sz val="11"/>
        <rFont val="WenQuanYi Zen Hei"/>
        <family val="2"/>
      </rPr>
      <t xml:space="preserve">円（</t>
    </r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さん確認）。以前の</t>
    </r>
    <r>
      <rPr>
        <sz val="11"/>
        <rFont val="Arial"/>
        <family val="0"/>
        <charset val="1"/>
      </rPr>
      <t xml:space="preserve">8,800</t>
    </r>
    <r>
      <rPr>
        <sz val="11"/>
        <rFont val="WenQuanYi Zen Hei"/>
        <family val="2"/>
      </rPr>
      <t xml:space="preserve">円から変更</t>
    </r>
  </si>
  <si>
    <t xml:space="preserve">宿泊＋3食 スタッフ（1人）</t>
  </si>
  <si>
    <t xml:space="preserve">宿泊3,400円（税込）＋朝食800円＋昼食1,000円＋鍋3,500円</t>
  </si>
  <si>
    <t xml:space="preserve">スタッフ日給（1日目）</t>
  </si>
  <si>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</t>
    </r>
  </si>
  <si>
    <t xml:space="preserve">スタッフ日給（2日目）</t>
  </si>
  <si>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さん。半日近いため</t>
    </r>
  </si>
  <si>
    <t xml:space="preserve">会場（研修室2日分）</t>
  </si>
  <si>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さん：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万円。公式料金は要確認</t>
    </r>
  </si>
  <si>
    <t xml:space="preserve">運営への支払い</t>
  </si>
  <si>
    <r>
      <rPr>
        <sz val="11"/>
        <rFont val="Arial"/>
        <family val="0"/>
        <charset val="1"/>
      </rPr>
      <t xml:space="preserve">Kazu</t>
    </r>
    <r>
      <rPr>
        <sz val="11"/>
        <rFont val="WenQuanYi Zen Hei"/>
        <family val="2"/>
      </rPr>
      <t xml:space="preserve">さん。会場等とは別</t>
    </r>
  </si>
  <si>
    <t xml:space="preserve">おやつ・飲み物</t>
  </si>
  <si>
    <t xml:space="preserve">仮定</t>
  </si>
  <si>
    <r>
      <rPr>
        <sz val="11"/>
        <rFont val="Arial"/>
        <family val="0"/>
        <charset val="1"/>
      </rPr>
      <t xml:space="preserve">iPad</t>
    </r>
    <r>
      <rPr>
        <sz val="11"/>
        <rFont val="WenQuanYi Zen Hei"/>
        <family val="2"/>
      </rPr>
      <t xml:space="preserve">レンタル（台数）</t>
    </r>
  </si>
  <si>
    <t xml:space="preserve">台</t>
  </si>
  <si>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人</t>
    </r>
    <r>
      <rPr>
        <sz val="11"/>
        <rFont val="Arial"/>
        <family val="0"/>
        <charset val="1"/>
      </rPr>
      <t xml:space="preserve">÷2</t>
    </r>
    <r>
      <rPr>
        <sz val="11"/>
        <rFont val="WenQuanYi Zen Hei"/>
        <family val="2"/>
      </rPr>
      <t xml:space="preserve">人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台</t>
    </r>
  </si>
  <si>
    <r>
      <rPr>
        <sz val="11"/>
        <rFont val="Arial"/>
        <family val="0"/>
        <charset val="1"/>
      </rPr>
      <t xml:space="preserve">iPad 1</t>
    </r>
    <r>
      <rPr>
        <sz val="11"/>
        <rFont val="WenQuanYi Zen Hei"/>
        <family val="2"/>
      </rPr>
      <t xml:space="preserve">台あたり</t>
    </r>
  </si>
  <si>
    <t xml:space="preserve">仮定：個人向けは2日で約2,000円前後。法人は要見積もり</t>
  </si>
  <si>
    <r>
      <rPr>
        <sz val="11"/>
        <rFont val="Arial"/>
        <family val="0"/>
        <charset val="1"/>
      </rPr>
      <t xml:space="preserve">iPad </t>
    </r>
    <r>
      <rPr>
        <sz val="11"/>
        <rFont val="WenQuanYi Zen Hei"/>
        <family val="2"/>
      </rPr>
      <t xml:space="preserve">配送料</t>
    </r>
  </si>
  <si>
    <r>
      <rPr>
        <sz val="11"/>
        <rFont val="Arial"/>
        <family val="0"/>
        <charset val="1"/>
      </rPr>
      <t xml:space="preserve">Gemini</t>
    </r>
    <r>
      <rPr>
        <sz val="11"/>
        <rFont val="WenQuanYi Zen Hei"/>
        <family val="2"/>
      </rPr>
      <t xml:space="preserve">有料アカウント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</si>
  <si>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か月無料体験を使う想定。無料期間後や条件は要確認（有料なら約</t>
    </r>
    <r>
      <rPr>
        <sz val="11"/>
        <rFont val="Arial"/>
        <family val="0"/>
        <charset val="1"/>
      </rPr>
      <t xml:space="preserve">3,000</t>
    </r>
    <r>
      <rPr>
        <sz val="11"/>
        <rFont val="WenQuanYi Zen Hei"/>
        <family val="2"/>
      </rPr>
      <t xml:space="preserve">円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月</t>
    </r>
    <r>
      <rPr>
        <sz val="11"/>
        <rFont val="Arial"/>
        <family val="0"/>
        <charset val="1"/>
      </rPr>
      <t xml:space="preserve">×</t>
    </r>
    <r>
      <rPr>
        <sz val="11"/>
        <rFont val="WenQuanYi Zen Hei"/>
        <family val="2"/>
      </rPr>
      <t xml:space="preserve">台数）</t>
    </r>
  </si>
  <si>
    <t xml:space="preserve">消耗品（印刷・飴・賞状・コイン）</t>
  </si>
  <si>
    <t xml:space="preserve">イベント保険</t>
  </si>
  <si>
    <t xml:space="preserve">仮定。要見積もり</t>
  </si>
  <si>
    <t xml:space="preserve">手取りの目標</t>
  </si>
  <si>
    <t xml:space="preserve">収入と費用</t>
  </si>
  <si>
    <t xml:space="preserve">参加費収入</t>
  </si>
  <si>
    <t xml:space="preserve">宿泊＋3食（子ども）</t>
  </si>
  <si>
    <t xml:space="preserve">宿泊＋3食（スタッフ）</t>
  </si>
  <si>
    <t xml:space="preserve">スタッフ日給</t>
  </si>
  <si>
    <t xml:space="preserve">会場</t>
  </si>
  <si>
    <r>
      <rPr>
        <sz val="11"/>
        <rFont val="Arial"/>
        <family val="0"/>
        <charset val="1"/>
      </rPr>
      <t xml:space="preserve">iPad</t>
    </r>
    <r>
      <rPr>
        <sz val="11"/>
        <rFont val="WenQuanYi Zen Hei"/>
        <family val="2"/>
      </rPr>
      <t xml:space="preserve">（レンタル＋配送）</t>
    </r>
  </si>
  <si>
    <r>
      <rPr>
        <sz val="11"/>
        <rFont val="Arial"/>
        <family val="0"/>
        <charset val="1"/>
      </rPr>
      <t xml:space="preserve">Gemini</t>
    </r>
    <r>
      <rPr>
        <sz val="11"/>
        <rFont val="WenQuanYi Zen Hei"/>
        <family val="2"/>
      </rPr>
      <t xml:space="preserve">アカウント</t>
    </r>
  </si>
  <si>
    <t xml:space="preserve">消耗品</t>
  </si>
  <si>
    <t xml:space="preserve">保険</t>
  </si>
  <si>
    <t xml:space="preserve">費用合計</t>
  </si>
  <si>
    <t xml:space="preserve">利益（手取り）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</si>
  <si>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人あたり利益</t>
    </r>
  </si>
  <si>
    <t xml:space="preserve">損益分岐点</t>
  </si>
  <si>
    <t xml:space="preserve">子ども1人あたりの変動費</t>
  </si>
  <si>
    <t xml:space="preserve">固定費（人数に関係しない費用）</t>
  </si>
  <si>
    <t xml:space="preserve">損益分岐の人数（人）</t>
  </si>
  <si>
    <t xml:space="preserve">手取り目標を達成する人数（人）</t>
  </si>
  <si>
    <t xml:space="preserve">参加人数別の利益（円）</t>
  </si>
  <si>
    <t xml:space="preserve">参加人数</t>
  </si>
  <si>
    <t xml:space="preserve">収入</t>
  </si>
  <si>
    <t xml:space="preserve">費用</t>
  </si>
  <si>
    <t xml:space="preserve">利益</t>
  </si>
  <si>
    <t xml:space="preserve">日</t>
  </si>
  <si>
    <t xml:space="preserve">時間</t>
  </si>
  <si>
    <t xml:space="preserve">内容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</si>
  <si>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日目</t>
    </r>
  </si>
  <si>
    <r>
      <rPr>
        <sz val="11"/>
        <rFont val="Arial"/>
        <family val="0"/>
        <charset val="1"/>
      </rPr>
      <t xml:space="preserve">13:00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13:20</t>
    </r>
  </si>
  <si>
    <t xml:space="preserve">開会、Dreamコイン100万円を配る</t>
  </si>
  <si>
    <r>
      <rPr>
        <sz val="11"/>
        <rFont val="Arial"/>
        <family val="0"/>
        <charset val="1"/>
      </rPr>
      <t xml:space="preserve">13:20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13:40</t>
    </r>
  </si>
  <si>
    <t xml:space="preserve">ペア決め（AIは2人1台）、1人ずつ自己紹介</t>
  </si>
  <si>
    <r>
      <rPr>
        <sz val="11"/>
        <rFont val="Arial"/>
        <family val="0"/>
        <charset val="1"/>
      </rPr>
      <t xml:space="preserve">13:40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13:55</t>
    </r>
  </si>
  <si>
    <t xml:space="preserve">かけっこ（学年グループ別）</t>
  </si>
  <si>
    <r>
      <rPr>
        <sz val="11"/>
        <rFont val="Arial"/>
        <family val="0"/>
        <charset val="1"/>
      </rPr>
      <t xml:space="preserve">13:55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14:10</t>
    </r>
  </si>
  <si>
    <t xml:space="preserve">行き先を選ぶ（交通費を払う）</t>
  </si>
  <si>
    <r>
      <rPr>
        <sz val="11"/>
        <rFont val="Arial"/>
        <family val="0"/>
        <charset val="1"/>
      </rPr>
      <t xml:space="preserve">14:10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14:20</t>
    </r>
  </si>
  <si>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の使い方レッスン</t>
    </r>
  </si>
  <si>
    <r>
      <rPr>
        <sz val="11"/>
        <rFont val="Arial"/>
        <family val="0"/>
        <charset val="1"/>
      </rPr>
      <t xml:space="preserve">14:20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14:40</t>
    </r>
  </si>
  <si>
    <t xml:space="preserve">クエスト1：地域調べ（3行メモ）</t>
  </si>
  <si>
    <r>
      <rPr>
        <sz val="11"/>
        <rFont val="Arial"/>
        <family val="0"/>
        <charset val="1"/>
      </rPr>
      <t xml:space="preserve">14:40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14:55</t>
    </r>
  </si>
  <si>
    <t xml:space="preserve">宿を選ぶ、椅子取りゲーム、ご当地クイズ</t>
  </si>
  <si>
    <r>
      <rPr>
        <sz val="11"/>
        <rFont val="Arial"/>
        <family val="0"/>
        <charset val="1"/>
      </rPr>
      <t xml:space="preserve">14:55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15:15</t>
    </r>
  </si>
  <si>
    <t xml:space="preserve">クエスト2：タイトルとキャッチコピー、投票</t>
  </si>
  <si>
    <r>
      <rPr>
        <sz val="11"/>
        <rFont val="Arial"/>
        <family val="0"/>
        <charset val="1"/>
      </rPr>
      <t xml:space="preserve">15:15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15:30</t>
    </r>
  </si>
  <si>
    <t xml:space="preserve">おやつ、休憩</t>
  </si>
  <si>
    <r>
      <rPr>
        <sz val="11"/>
        <rFont val="Arial"/>
        <family val="0"/>
        <charset val="1"/>
      </rPr>
      <t xml:space="preserve">15:30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16:00</t>
    </r>
  </si>
  <si>
    <t xml:space="preserve">クエスト3：スケジュール作り</t>
  </si>
  <si>
    <r>
      <rPr>
        <sz val="11"/>
        <rFont val="Arial"/>
        <family val="0"/>
        <charset val="1"/>
      </rPr>
      <t xml:space="preserve">16:00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16:20</t>
    </r>
  </si>
  <si>
    <t xml:space="preserve">サイコロ1回目</t>
  </si>
  <si>
    <r>
      <rPr>
        <sz val="11"/>
        <rFont val="Arial"/>
        <family val="0"/>
        <charset val="1"/>
      </rPr>
      <t xml:space="preserve">16:20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17:00</t>
    </r>
  </si>
  <si>
    <t xml:space="preserve">ミニ発表、お客さんコイン50万円で買う、団体客ルーレット1回目</t>
  </si>
  <si>
    <r>
      <rPr>
        <sz val="11"/>
        <rFont val="Arial"/>
        <family val="0"/>
        <charset val="1"/>
      </rPr>
      <t xml:space="preserve">17:00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17:30</t>
    </r>
  </si>
  <si>
    <t xml:space="preserve">サイコロ2回目、振り返り</t>
  </si>
  <si>
    <r>
      <rPr>
        <sz val="11"/>
        <rFont val="Arial"/>
        <family val="0"/>
        <charset val="1"/>
      </rPr>
      <t xml:space="preserve">17:30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18:30</t>
    </r>
  </si>
  <si>
    <t xml:space="preserve">夕食（鍋）</t>
  </si>
  <si>
    <r>
      <rPr>
        <sz val="11"/>
        <rFont val="Arial"/>
        <family val="0"/>
        <charset val="1"/>
      </rPr>
      <t xml:space="preserve">18:30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19:30</t>
    </r>
  </si>
  <si>
    <t xml:space="preserve">入浴</t>
  </si>
  <si>
    <r>
      <rPr>
        <sz val="11"/>
        <rFont val="Arial"/>
        <family val="0"/>
        <charset val="1"/>
      </rPr>
      <t xml:space="preserve">19:30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20:30</t>
    </r>
  </si>
  <si>
    <r>
      <rPr>
        <sz val="11"/>
        <rFont val="Arial"/>
        <family val="0"/>
        <charset val="1"/>
      </rPr>
      <t xml:space="preserve">MG</t>
    </r>
    <r>
      <rPr>
        <sz val="11"/>
        <rFont val="WenQuanYi Zen Hei"/>
        <family val="2"/>
      </rPr>
      <t xml:space="preserve">ゲーム（任意）</t>
    </r>
  </si>
  <si>
    <r>
      <rPr>
        <sz val="11"/>
        <rFont val="Arial"/>
        <family val="0"/>
        <charset val="1"/>
      </rPr>
      <t xml:space="preserve">20:30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21:30</t>
    </r>
  </si>
  <si>
    <t xml:space="preserve">自由時間</t>
  </si>
  <si>
    <r>
      <rPr>
        <sz val="11"/>
        <rFont val="Arial"/>
        <family val="0"/>
        <charset val="1"/>
      </rPr>
      <t xml:space="preserve">21:30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22:00</t>
    </r>
  </si>
  <si>
    <t xml:space="preserve">就寝準備、消灯</t>
  </si>
  <si>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日目</t>
    </r>
  </si>
  <si>
    <r>
      <rPr>
        <sz val="11"/>
        <rFont val="Arial"/>
        <family val="0"/>
        <charset val="1"/>
      </rPr>
      <t xml:space="preserve">7:00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9:00</t>
    </r>
  </si>
  <si>
    <t xml:space="preserve">起床、朝食、準備</t>
  </si>
  <si>
    <r>
      <rPr>
        <sz val="11"/>
        <rFont val="Arial"/>
        <family val="0"/>
        <charset val="1"/>
      </rPr>
      <t xml:space="preserve">9:00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9:15</t>
    </r>
  </si>
  <si>
    <t xml:space="preserve">開始、サイコロ3回目</t>
  </si>
  <si>
    <r>
      <rPr>
        <sz val="11"/>
        <rFont val="Arial"/>
        <family val="0"/>
        <charset val="1"/>
      </rPr>
      <t xml:space="preserve">9:15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10:45</t>
    </r>
  </si>
  <si>
    <t xml:space="preserve">クエスト4・5：広報ポスターと動画（Gemini10秒）</t>
  </si>
  <si>
    <r>
      <rPr>
        <sz val="11"/>
        <rFont val="Arial"/>
        <family val="0"/>
        <charset val="1"/>
      </rPr>
      <t xml:space="preserve">10:45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11:00</t>
    </r>
  </si>
  <si>
    <t xml:space="preserve">作品を貼り出して投票</t>
  </si>
  <si>
    <r>
      <rPr>
        <sz val="11"/>
        <rFont val="Arial"/>
        <family val="0"/>
        <charset val="1"/>
      </rPr>
      <t xml:space="preserve">11:00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11:10</t>
    </r>
  </si>
  <si>
    <t xml:space="preserve">団体客ルーレット2回</t>
  </si>
  <si>
    <r>
      <rPr>
        <sz val="11"/>
        <rFont val="Arial"/>
        <family val="0"/>
        <charset val="1"/>
      </rPr>
      <t xml:space="preserve">11:10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12:00</t>
    </r>
  </si>
  <si>
    <t xml:space="preserve">本番ピッチ</t>
  </si>
  <si>
    <r>
      <rPr>
        <sz val="11"/>
        <rFont val="Arial"/>
        <family val="0"/>
        <charset val="1"/>
      </rPr>
      <t xml:space="preserve">12:00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12:15</t>
    </r>
  </si>
  <si>
    <t xml:space="preserve">お客さんコイン50万円で買う</t>
  </si>
  <si>
    <r>
      <rPr>
        <sz val="11"/>
        <rFont val="Arial"/>
        <family val="0"/>
        <charset val="1"/>
      </rPr>
      <t xml:space="preserve">12:15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13:00</t>
    </r>
  </si>
  <si>
    <t xml:space="preserve">精算、表彰</t>
  </si>
  <si>
    <r>
      <rPr>
        <sz val="11"/>
        <rFont val="Arial"/>
        <family val="0"/>
        <charset val="1"/>
      </rPr>
      <t xml:space="preserve">13:00</t>
    </r>
    <r>
      <rPr>
        <sz val="11"/>
        <rFont val="WenQuanYi Zen Hei"/>
        <family val="2"/>
      </rPr>
      <t xml:space="preserve">〜</t>
    </r>
  </si>
  <si>
    <t xml:space="preserve">昼食、解散準備</t>
  </si>
  <si>
    <t xml:space="preserve">分類</t>
  </si>
  <si>
    <t xml:space="preserve">状況</t>
  </si>
  <si>
    <t xml:space="preserve">担当・確認先</t>
  </si>
  <si>
    <t xml:space="preserve">お金</t>
  </si>
  <si>
    <t xml:space="preserve">運営への15万円の中身（会場・宿泊を含まない別費用で確定）</t>
  </si>
  <si>
    <t xml:space="preserve">決定</t>
  </si>
  <si>
    <t xml:space="preserve">子どもの宿泊＋3食＝約6,100円（宿泊1,100＋宿泊税200＋朝800＋昼1,000＋鍋3,000）、スタッフ＝約8,700円。施設に最終確認</t>
  </si>
  <si>
    <t xml:space="preserve">施設に確認</t>
  </si>
  <si>
    <t xml:space="preserve">参加費：4万円を基本に</t>
  </si>
  <si>
    <t xml:space="preserve">スタッフ人数（2人か3人）と日給（1日目1.5万、2日目1万）</t>
  </si>
  <si>
    <t xml:space="preserve">未定</t>
  </si>
  <si>
    <t xml:space="preserve">会場料金（2日で2〜3万円）の正式な見積もり</t>
  </si>
  <si>
    <t xml:space="preserve">あうる京北の正式な料金表、空室、Wi-Fi、入浴・消灯のルール</t>
  </si>
  <si>
    <t xml:space="preserve">電話：075-854-0216（検索結果の記載）</t>
  </si>
  <si>
    <t xml:space="preserve">夕食を鍋にする場合の追加料金や持ち込みの可否</t>
  </si>
  <si>
    <t xml:space="preserve">AI</t>
  </si>
  <si>
    <t xml:space="preserve">動画：スタッフの有料Geminiアカウントを子どもが使う（確定）。1か月無料体験で始める</t>
  </si>
  <si>
    <r>
      <rPr>
        <sz val="11"/>
        <rFont val="Arial"/>
        <family val="0"/>
        <charset val="1"/>
      </rPr>
      <t xml:space="preserve">18</t>
    </r>
    <r>
      <rPr>
        <sz val="11"/>
        <rFont val="WenQuanYi Zen Hei"/>
        <family val="2"/>
      </rPr>
      <t xml:space="preserve">歳未満の子どもが操作して問題ないか、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公式の条件を確認</t>
    </r>
  </si>
  <si>
    <t xml:space="preserve">無料体験の期間・解約手順（体験後に請求が発生しないようにする）</t>
  </si>
  <si>
    <r>
      <rPr>
        <sz val="11"/>
        <rFont val="Arial"/>
        <family val="0"/>
        <charset val="1"/>
      </rPr>
      <t xml:space="preserve">ChatGPT</t>
    </r>
    <r>
      <rPr>
        <sz val="11"/>
        <rFont val="WenQuanYi Zen Hei"/>
        <family val="2"/>
      </rPr>
      <t xml:space="preserve">無料版の画像生成の回数。前日に実機で確認</t>
    </r>
  </si>
  <si>
    <t xml:space="preserve">保護者のAI利用同意は、申込時にまとめて取る（確定）</t>
  </si>
  <si>
    <t xml:space="preserve">端末</t>
  </si>
  <si>
    <r>
      <rPr>
        <sz val="11"/>
        <rFont val="Arial"/>
        <family val="0"/>
        <charset val="1"/>
      </rPr>
      <t xml:space="preserve">iPad</t>
    </r>
    <r>
      <rPr>
        <sz val="11"/>
        <rFont val="WenQuanYi Zen Hei"/>
        <family val="2"/>
      </rPr>
      <t xml:space="preserve">の台数（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人なら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台）、レンタル会社の見積もり</t>
    </r>
  </si>
  <si>
    <t xml:space="preserve">会場Wi-Fiの有無と安定性。モバイルルーターの予備</t>
  </si>
  <si>
    <t xml:space="preserve">ルール</t>
  </si>
  <si>
    <t xml:space="preserve">サイコロ「4」の判定はKazuさんが行う（確定）</t>
  </si>
  <si>
    <t xml:space="preserve">ご当地クイズの問題作成（当日、選ばれた県から）</t>
  </si>
  <si>
    <r>
      <rPr>
        <sz val="11"/>
        <rFont val="Arial"/>
        <family val="0"/>
        <charset val="1"/>
      </rPr>
      <t xml:space="preserve">Claude/Kazu</t>
    </r>
    <r>
      <rPr>
        <sz val="11"/>
        <rFont val="WenQuanYi Zen Hei"/>
        <family val="2"/>
      </rPr>
      <t xml:space="preserve">さん</t>
    </r>
  </si>
  <si>
    <t xml:space="preserve">参加人数が変わったときのペア・AI台数</t>
  </si>
  <si>
    <t xml:space="preserve">安全</t>
  </si>
  <si>
    <t xml:space="preserve">イベント保険、アレルギー・体調の事前確認、緊急連絡先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</si>
</sst>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sz val="11"/>
      <color theme="1"/>
      <name val="Arial"/>
      <family val="0"/>
      <charset val="1"/>
    </font>
    <font>
      <sz val="11"/>
      <name val="WenQuanYi Zen Hei"/>
      <family val="2"/>
      <charset val="1"/>
    </font>
    <font>
      <b val="true"/>
      <sz val="11"/>
      <name val="WenQuanYi Zen Hei"/>
      <family val="2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WenQuanYi Zen He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8.75" hidden="false" customHeight="true" outlineLevel="0" collapsed="false">
      <c r="A1" s="2" t="s">
        <v>0</v>
      </c>
      <c r="B1" s="3"/>
      <c r="C1" s="3"/>
      <c r="D1" s="3"/>
    </row>
    <row r="2" customFormat="false" ht="15" hidden="false" customHeight="true" outlineLevel="0" collapsed="false">
      <c r="A2" s="4" t="s">
        <v>1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true" outlineLevel="0" collapsed="false">
      <c r="A5" s="4" t="s">
        <v>6</v>
      </c>
      <c r="B5" s="6" t="n">
        <v>15</v>
      </c>
      <c r="C5" s="4" t="s">
        <v>7</v>
      </c>
      <c r="D5" s="7" t="s">
        <v>8</v>
      </c>
    </row>
    <row r="6" customFormat="false" ht="15" hidden="false" customHeight="true" outlineLevel="0" collapsed="false">
      <c r="A6" s="4" t="s">
        <v>9</v>
      </c>
      <c r="B6" s="6" t="n">
        <v>40000</v>
      </c>
      <c r="C6" s="4" t="s">
        <v>10</v>
      </c>
      <c r="D6" s="4" t="s">
        <v>11</v>
      </c>
    </row>
    <row r="7" customFormat="false" ht="15" hidden="false" customHeight="true" outlineLevel="0" collapsed="false">
      <c r="A7" s="4" t="s">
        <v>12</v>
      </c>
      <c r="B7" s="6" t="n">
        <v>2</v>
      </c>
      <c r="C7" s="4" t="s">
        <v>7</v>
      </c>
      <c r="D7" s="7" t="s">
        <v>13</v>
      </c>
    </row>
    <row r="8" customFormat="false" ht="15" hidden="false" customHeight="true" outlineLevel="0" collapsed="false">
      <c r="A8" s="4" t="s">
        <v>14</v>
      </c>
      <c r="B8" s="6" t="n">
        <v>6100</v>
      </c>
      <c r="C8" s="4" t="s">
        <v>10</v>
      </c>
      <c r="D8" s="8" t="s">
        <v>15</v>
      </c>
    </row>
    <row r="9" customFormat="false" ht="15" hidden="false" customHeight="true" outlineLevel="0" collapsed="false">
      <c r="A9" s="4" t="s">
        <v>16</v>
      </c>
      <c r="B9" s="6" t="n">
        <v>8700</v>
      </c>
      <c r="C9" s="4" t="s">
        <v>10</v>
      </c>
      <c r="D9" s="4" t="s">
        <v>17</v>
      </c>
    </row>
    <row r="10" customFormat="false" ht="15" hidden="false" customHeight="true" outlineLevel="0" collapsed="false">
      <c r="A10" s="4" t="s">
        <v>18</v>
      </c>
      <c r="B10" s="6" t="n">
        <v>15000</v>
      </c>
      <c r="C10" s="4" t="s">
        <v>10</v>
      </c>
      <c r="D10" s="7" t="s">
        <v>19</v>
      </c>
    </row>
    <row r="11" customFormat="false" ht="15" hidden="false" customHeight="true" outlineLevel="0" collapsed="false">
      <c r="A11" s="4" t="s">
        <v>20</v>
      </c>
      <c r="B11" s="6" t="n">
        <v>10000</v>
      </c>
      <c r="C11" s="4" t="s">
        <v>10</v>
      </c>
      <c r="D11" s="7" t="s">
        <v>21</v>
      </c>
    </row>
    <row r="12" customFormat="false" ht="15" hidden="false" customHeight="true" outlineLevel="0" collapsed="false">
      <c r="A12" s="4" t="s">
        <v>22</v>
      </c>
      <c r="B12" s="9" t="n">
        <v>30000</v>
      </c>
      <c r="C12" s="4" t="s">
        <v>10</v>
      </c>
      <c r="D12" s="7" t="s">
        <v>23</v>
      </c>
    </row>
    <row r="13" customFormat="false" ht="15" hidden="false" customHeight="true" outlineLevel="0" collapsed="false">
      <c r="A13" s="4" t="s">
        <v>24</v>
      </c>
      <c r="B13" s="6" t="n">
        <v>150000</v>
      </c>
      <c r="C13" s="4" t="s">
        <v>10</v>
      </c>
      <c r="D13" s="7" t="s">
        <v>25</v>
      </c>
    </row>
    <row r="14" customFormat="false" ht="15" hidden="false" customHeight="true" outlineLevel="0" collapsed="false">
      <c r="A14" s="4" t="s">
        <v>26</v>
      </c>
      <c r="B14" s="9" t="n">
        <v>10000</v>
      </c>
      <c r="C14" s="4" t="s">
        <v>10</v>
      </c>
      <c r="D14" s="4" t="s">
        <v>27</v>
      </c>
    </row>
    <row r="15" customFormat="false" ht="15" hidden="false" customHeight="true" outlineLevel="0" collapsed="false">
      <c r="A15" s="7" t="s">
        <v>28</v>
      </c>
      <c r="B15" s="6" t="n">
        <v>8</v>
      </c>
      <c r="C15" s="4" t="s">
        <v>29</v>
      </c>
      <c r="D15" s="7" t="s">
        <v>30</v>
      </c>
    </row>
    <row r="16" customFormat="false" ht="15" hidden="false" customHeight="true" outlineLevel="0" collapsed="false">
      <c r="A16" s="7" t="s">
        <v>31</v>
      </c>
      <c r="B16" s="9" t="n">
        <v>3000</v>
      </c>
      <c r="C16" s="4" t="s">
        <v>10</v>
      </c>
      <c r="D16" s="4" t="s">
        <v>32</v>
      </c>
    </row>
    <row r="17" customFormat="false" ht="15" hidden="false" customHeight="true" outlineLevel="0" collapsed="false">
      <c r="A17" s="7" t="s">
        <v>33</v>
      </c>
      <c r="B17" s="9" t="n">
        <v>3000</v>
      </c>
      <c r="C17" s="4" t="s">
        <v>10</v>
      </c>
      <c r="D17" s="4" t="s">
        <v>27</v>
      </c>
    </row>
    <row r="18" customFormat="false" ht="15" hidden="false" customHeight="true" outlineLevel="0" collapsed="false">
      <c r="A18" s="7" t="s">
        <v>34</v>
      </c>
      <c r="B18" s="9" t="n">
        <v>0</v>
      </c>
      <c r="C18" s="4" t="s">
        <v>10</v>
      </c>
      <c r="D18" s="7" t="s">
        <v>35</v>
      </c>
    </row>
    <row r="19" customFormat="false" ht="15" hidden="false" customHeight="true" outlineLevel="0" collapsed="false">
      <c r="A19" s="4" t="s">
        <v>36</v>
      </c>
      <c r="B19" s="9" t="n">
        <v>15000</v>
      </c>
      <c r="C19" s="4" t="s">
        <v>10</v>
      </c>
      <c r="D19" s="4" t="s">
        <v>27</v>
      </c>
    </row>
    <row r="20" customFormat="false" ht="15" hidden="false" customHeight="true" outlineLevel="0" collapsed="false">
      <c r="A20" s="4" t="s">
        <v>37</v>
      </c>
      <c r="B20" s="9" t="n">
        <v>15000</v>
      </c>
      <c r="C20" s="4" t="s">
        <v>10</v>
      </c>
      <c r="D20" s="4" t="s">
        <v>38</v>
      </c>
    </row>
    <row r="21" customFormat="false" ht="15" hidden="false" customHeight="true" outlineLevel="0" collapsed="false">
      <c r="A21" s="4" t="s">
        <v>39</v>
      </c>
      <c r="B21" s="6" t="n">
        <v>100000</v>
      </c>
      <c r="C21" s="4" t="s">
        <v>10</v>
      </c>
      <c r="D21" s="7" t="s">
        <v>19</v>
      </c>
    </row>
    <row r="22" customFormat="false" ht="15" hidden="false" customHeight="true" outlineLevel="0" collapsed="false">
      <c r="A22" s="3"/>
      <c r="B22" s="3"/>
      <c r="C22" s="3"/>
      <c r="D22" s="3"/>
    </row>
    <row r="23" customFormat="false" ht="15" hidden="false" customHeight="true" outlineLevel="0" collapsed="false">
      <c r="A23" s="10" t="s">
        <v>40</v>
      </c>
      <c r="B23" s="3"/>
      <c r="C23" s="3"/>
      <c r="D23" s="3"/>
    </row>
    <row r="24" customFormat="false" ht="15" hidden="false" customHeight="true" outlineLevel="0" collapsed="false">
      <c r="A24" s="4" t="s">
        <v>41</v>
      </c>
      <c r="B24" s="11" t="n">
        <f aca="false">$B$5*$B$6</f>
        <v>600000</v>
      </c>
      <c r="C24" s="3"/>
      <c r="D24" s="3"/>
    </row>
    <row r="25" customFormat="false" ht="15" hidden="false" customHeight="true" outlineLevel="0" collapsed="false">
      <c r="A25" s="4" t="s">
        <v>42</v>
      </c>
      <c r="B25" s="11" t="n">
        <f aca="false">$B$5*$B$8</f>
        <v>91500</v>
      </c>
      <c r="C25" s="3"/>
      <c r="D25" s="3"/>
    </row>
    <row r="26" customFormat="false" ht="15" hidden="false" customHeight="true" outlineLevel="0" collapsed="false">
      <c r="A26" s="4" t="s">
        <v>43</v>
      </c>
      <c r="B26" s="11" t="n">
        <f aca="false">$B$7*$B$9</f>
        <v>17400</v>
      </c>
      <c r="C26" s="3"/>
      <c r="D26" s="3"/>
    </row>
    <row r="27" customFormat="false" ht="15" hidden="false" customHeight="true" outlineLevel="0" collapsed="false">
      <c r="A27" s="4" t="s">
        <v>44</v>
      </c>
      <c r="B27" s="11" t="n">
        <f aca="false">$B$7*($B$10+$B$11)</f>
        <v>50000</v>
      </c>
      <c r="C27" s="3"/>
      <c r="D27" s="3"/>
    </row>
    <row r="28" customFormat="false" ht="15" hidden="false" customHeight="true" outlineLevel="0" collapsed="false">
      <c r="A28" s="4" t="s">
        <v>45</v>
      </c>
      <c r="B28" s="11" t="n">
        <f aca="false">$B$12</f>
        <v>30000</v>
      </c>
      <c r="C28" s="3"/>
      <c r="D28" s="3"/>
    </row>
    <row r="29" customFormat="false" ht="15" hidden="false" customHeight="true" outlineLevel="0" collapsed="false">
      <c r="A29" s="4" t="s">
        <v>24</v>
      </c>
      <c r="B29" s="11" t="n">
        <f aca="false">$B$13</f>
        <v>150000</v>
      </c>
      <c r="C29" s="3"/>
      <c r="D29" s="3"/>
    </row>
    <row r="30" customFormat="false" ht="15" hidden="false" customHeight="true" outlineLevel="0" collapsed="false">
      <c r="A30" s="4" t="s">
        <v>26</v>
      </c>
      <c r="B30" s="11" t="n">
        <f aca="false">$B$14</f>
        <v>10000</v>
      </c>
      <c r="C30" s="3"/>
      <c r="D30" s="3"/>
    </row>
    <row r="31" customFormat="false" ht="15" hidden="false" customHeight="true" outlineLevel="0" collapsed="false">
      <c r="A31" s="7" t="s">
        <v>46</v>
      </c>
      <c r="B31" s="11" t="n">
        <f aca="false">$B$15*$B$16+$B$17</f>
        <v>27000</v>
      </c>
      <c r="C31" s="3"/>
      <c r="D31" s="3"/>
    </row>
    <row r="32" customFormat="false" ht="15" hidden="false" customHeight="true" outlineLevel="0" collapsed="false">
      <c r="A32" s="7" t="s">
        <v>47</v>
      </c>
      <c r="B32" s="11" t="n">
        <f aca="false">$B$18</f>
        <v>0</v>
      </c>
      <c r="C32" s="3"/>
      <c r="D32" s="3"/>
    </row>
    <row r="33" customFormat="false" ht="15" hidden="false" customHeight="true" outlineLevel="0" collapsed="false">
      <c r="A33" s="4" t="s">
        <v>48</v>
      </c>
      <c r="B33" s="11" t="n">
        <f aca="false">$B$19</f>
        <v>15000</v>
      </c>
      <c r="C33" s="3"/>
      <c r="D33" s="3"/>
    </row>
    <row r="34" customFormat="false" ht="15" hidden="false" customHeight="true" outlineLevel="0" collapsed="false">
      <c r="A34" s="4" t="s">
        <v>49</v>
      </c>
      <c r="B34" s="11" t="n">
        <f aca="false">$B$20</f>
        <v>15000</v>
      </c>
      <c r="C34" s="3"/>
      <c r="D34" s="3"/>
    </row>
    <row r="35" customFormat="false" ht="15" hidden="false" customHeight="true" outlineLevel="0" collapsed="false">
      <c r="A35" s="10" t="s">
        <v>50</v>
      </c>
      <c r="B35" s="12" t="n">
        <f aca="false">SUM(B25:B34)</f>
        <v>405900</v>
      </c>
      <c r="C35" s="3"/>
      <c r="D35" s="3"/>
    </row>
    <row r="36" customFormat="false" ht="15" hidden="false" customHeight="true" outlineLevel="0" collapsed="false">
      <c r="A36" s="10" t="s">
        <v>51</v>
      </c>
      <c r="B36" s="12" t="n">
        <f aca="false">B24-B35</f>
        <v>194100</v>
      </c>
      <c r="C36" s="3"/>
      <c r="D36" s="3"/>
    </row>
    <row r="37" customFormat="false" ht="15" hidden="false" customHeight="true" outlineLevel="0" collapsed="false">
      <c r="A37" s="7" t="s">
        <v>52</v>
      </c>
      <c r="B37" s="11" t="n">
        <f aca="false">B36/$B$5</f>
        <v>12940</v>
      </c>
      <c r="C37" s="3"/>
      <c r="D37" s="3"/>
    </row>
    <row r="38" customFormat="false" ht="15" hidden="false" customHeight="true" outlineLevel="0" collapsed="false">
      <c r="A38" s="3"/>
      <c r="B38" s="3"/>
      <c r="C38" s="3"/>
      <c r="D38" s="3"/>
    </row>
    <row r="39" customFormat="false" ht="15" hidden="false" customHeight="true" outlineLevel="0" collapsed="false">
      <c r="A39" s="10" t="s">
        <v>53</v>
      </c>
      <c r="B39" s="3"/>
      <c r="C39" s="3"/>
      <c r="D39" s="3"/>
    </row>
    <row r="40" customFormat="false" ht="15" hidden="false" customHeight="true" outlineLevel="0" collapsed="false">
      <c r="A40" s="4" t="s">
        <v>54</v>
      </c>
      <c r="B40" s="11" t="n">
        <f aca="false">$B$8</f>
        <v>6100</v>
      </c>
      <c r="C40" s="3"/>
      <c r="D40" s="3"/>
    </row>
    <row r="41" customFormat="false" ht="15" hidden="false" customHeight="true" outlineLevel="0" collapsed="false">
      <c r="A41" s="4" t="s">
        <v>55</v>
      </c>
      <c r="B41" s="11" t="n">
        <f aca="false">B35-$B$5*$B$8</f>
        <v>314400</v>
      </c>
      <c r="C41" s="3"/>
      <c r="D41" s="3"/>
    </row>
    <row r="42" customFormat="false" ht="15" hidden="false" customHeight="true" outlineLevel="0" collapsed="false">
      <c r="A42" s="4" t="s">
        <v>56</v>
      </c>
      <c r="B42" s="13" t="n">
        <f aca="false">ROUNDUP(B41/($B$6-B40),0)</f>
        <v>10</v>
      </c>
      <c r="C42" s="3"/>
      <c r="D42" s="3"/>
    </row>
    <row r="43" customFormat="false" ht="15" hidden="false" customHeight="true" outlineLevel="0" collapsed="false">
      <c r="A43" s="4" t="s">
        <v>57</v>
      </c>
      <c r="B43" s="13" t="n">
        <f aca="false">ROUNDUP((B41+$B$21)/($B$6-B40),0)</f>
        <v>13</v>
      </c>
      <c r="C43" s="3"/>
      <c r="D43" s="3"/>
    </row>
    <row r="44" customFormat="false" ht="15" hidden="false" customHeight="true" outlineLevel="0" collapsed="false">
      <c r="A44" s="3"/>
      <c r="B44" s="3"/>
      <c r="C44" s="3"/>
      <c r="D44" s="3"/>
    </row>
    <row r="45" customFormat="false" ht="15" hidden="false" customHeight="true" outlineLevel="0" collapsed="false">
      <c r="A45" s="10" t="s">
        <v>58</v>
      </c>
      <c r="B45" s="3"/>
      <c r="C45" s="3"/>
      <c r="D45" s="3"/>
    </row>
    <row r="46" customFormat="false" ht="15" hidden="false" customHeight="true" outlineLevel="0" collapsed="false">
      <c r="A46" s="5" t="s">
        <v>59</v>
      </c>
      <c r="B46" s="5" t="s">
        <v>60</v>
      </c>
      <c r="C46" s="5" t="s">
        <v>61</v>
      </c>
      <c r="D46" s="5" t="s">
        <v>62</v>
      </c>
    </row>
    <row r="47" customFormat="false" ht="15" hidden="false" customHeight="true" outlineLevel="0" collapsed="false">
      <c r="A47" s="14" t="n">
        <v>10</v>
      </c>
      <c r="B47" s="11" t="n">
        <f aca="false">A47*$B$6</f>
        <v>400000</v>
      </c>
      <c r="C47" s="11" t="n">
        <f aca="false">B41+A47*$B$8</f>
        <v>375400</v>
      </c>
      <c r="D47" s="11" t="n">
        <f aca="false">B47-C47</f>
        <v>24600</v>
      </c>
    </row>
    <row r="48" customFormat="false" ht="15" hidden="false" customHeight="true" outlineLevel="0" collapsed="false">
      <c r="A48" s="14" t="n">
        <v>11</v>
      </c>
      <c r="B48" s="11" t="n">
        <f aca="false">A48*$B$6</f>
        <v>440000</v>
      </c>
      <c r="C48" s="11" t="n">
        <f aca="false">B41+A48*$B$8</f>
        <v>381500</v>
      </c>
      <c r="D48" s="11" t="n">
        <f aca="false">B48-C48</f>
        <v>58500</v>
      </c>
    </row>
    <row r="49" customFormat="false" ht="15" hidden="false" customHeight="true" outlineLevel="0" collapsed="false">
      <c r="A49" s="14" t="n">
        <v>12</v>
      </c>
      <c r="B49" s="11" t="n">
        <f aca="false">A49*$B$6</f>
        <v>480000</v>
      </c>
      <c r="C49" s="11" t="n">
        <f aca="false">B41+A49*$B$8</f>
        <v>387600</v>
      </c>
      <c r="D49" s="11" t="n">
        <f aca="false">B49-C49</f>
        <v>92400</v>
      </c>
    </row>
    <row r="50" customFormat="false" ht="15" hidden="false" customHeight="true" outlineLevel="0" collapsed="false">
      <c r="A50" s="14" t="n">
        <v>13</v>
      </c>
      <c r="B50" s="11" t="n">
        <f aca="false">A50*$B$6</f>
        <v>520000</v>
      </c>
      <c r="C50" s="11" t="n">
        <f aca="false">B41+A50*$B$8</f>
        <v>393700</v>
      </c>
      <c r="D50" s="11" t="n">
        <f aca="false">B50-C50</f>
        <v>126300</v>
      </c>
    </row>
    <row r="51" customFormat="false" ht="15" hidden="false" customHeight="true" outlineLevel="0" collapsed="false">
      <c r="A51" s="14" t="n">
        <v>14</v>
      </c>
      <c r="B51" s="11" t="n">
        <f aca="false">A51*$B$6</f>
        <v>560000</v>
      </c>
      <c r="C51" s="11" t="n">
        <f aca="false">B41+A51*$B$8</f>
        <v>399800</v>
      </c>
      <c r="D51" s="11" t="n">
        <f aca="false">B51-C51</f>
        <v>160200</v>
      </c>
    </row>
    <row r="52" customFormat="false" ht="15" hidden="false" customHeight="true" outlineLevel="0" collapsed="false">
      <c r="A52" s="14" t="n">
        <v>15</v>
      </c>
      <c r="B52" s="11" t="n">
        <f aca="false">A52*$B$6</f>
        <v>600000</v>
      </c>
      <c r="C52" s="11" t="n">
        <f aca="false">B41+A52*$B$8</f>
        <v>405900</v>
      </c>
      <c r="D52" s="11" t="n">
        <f aca="false">B52-C52</f>
        <v>194100</v>
      </c>
    </row>
    <row r="53" customFormat="false" ht="15" hidden="false" customHeight="true" outlineLevel="0" collapsed="false">
      <c r="A53" s="14" t="n">
        <v>16</v>
      </c>
      <c r="B53" s="11" t="n">
        <f aca="false">A53*$B$6</f>
        <v>640000</v>
      </c>
      <c r="C53" s="11" t="n">
        <f aca="false">B41+A53*$B$8</f>
        <v>412000</v>
      </c>
      <c r="D53" s="11" t="n">
        <f aca="false">B53-C53</f>
        <v>228000</v>
      </c>
    </row>
    <row r="54" customFormat="false" ht="15" hidden="false" customHeight="true" outlineLevel="0" collapsed="false">
      <c r="A54" s="14" t="n">
        <v>17</v>
      </c>
      <c r="B54" s="11" t="n">
        <f aca="false">A54*$B$6</f>
        <v>680000</v>
      </c>
      <c r="C54" s="11" t="n">
        <f aca="false">B41+A54*$B$8</f>
        <v>418100</v>
      </c>
      <c r="D54" s="11" t="n">
        <f aca="false">B54-C54</f>
        <v>261900</v>
      </c>
    </row>
    <row r="55" customFormat="false" ht="15" hidden="false" customHeight="true" outlineLevel="0" collapsed="false">
      <c r="A55" s="14" t="n">
        <v>18</v>
      </c>
      <c r="B55" s="11" t="n">
        <f aca="false">A55*$B$6</f>
        <v>720000</v>
      </c>
      <c r="C55" s="11" t="n">
        <f aca="false">B41+A55*$B$8</f>
        <v>424200</v>
      </c>
      <c r="D55" s="11" t="n">
        <f aca="false">B55-C55</f>
        <v>295800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5" hidden="false" customHeight="true" outlineLevel="0" collapsed="false">
      <c r="A1" s="5" t="s">
        <v>63</v>
      </c>
      <c r="B1" s="5" t="s">
        <v>64</v>
      </c>
      <c r="C1" s="5" t="s">
        <v>65</v>
      </c>
    </row>
    <row r="2" customFormat="false" ht="14.25" hidden="false" customHeight="true" outlineLevel="0" collapsed="false">
      <c r="A2" s="7" t="s">
        <v>66</v>
      </c>
      <c r="B2" s="7" t="s">
        <v>67</v>
      </c>
      <c r="C2" s="4" t="s">
        <v>68</v>
      </c>
    </row>
    <row r="3" customFormat="false" ht="14.25" hidden="false" customHeight="true" outlineLevel="0" collapsed="false">
      <c r="A3" s="7" t="s">
        <v>66</v>
      </c>
      <c r="B3" s="7" t="s">
        <v>69</v>
      </c>
      <c r="C3" s="4" t="s">
        <v>70</v>
      </c>
    </row>
    <row r="4" customFormat="false" ht="15" hidden="false" customHeight="true" outlineLevel="0" collapsed="false">
      <c r="A4" s="7" t="s">
        <v>66</v>
      </c>
      <c r="B4" s="7" t="s">
        <v>71</v>
      </c>
      <c r="C4" s="4" t="s">
        <v>72</v>
      </c>
    </row>
    <row r="5" customFormat="false" ht="15" hidden="false" customHeight="true" outlineLevel="0" collapsed="false">
      <c r="A5" s="7" t="s">
        <v>66</v>
      </c>
      <c r="B5" s="7" t="s">
        <v>73</v>
      </c>
      <c r="C5" s="4" t="s">
        <v>74</v>
      </c>
    </row>
    <row r="6" customFormat="false" ht="14.25" hidden="false" customHeight="true" outlineLevel="0" collapsed="false">
      <c r="A6" s="7" t="s">
        <v>66</v>
      </c>
      <c r="B6" s="7" t="s">
        <v>75</v>
      </c>
      <c r="C6" s="7" t="s">
        <v>76</v>
      </c>
    </row>
    <row r="7" customFormat="false" ht="14.25" hidden="false" customHeight="true" outlineLevel="0" collapsed="false">
      <c r="A7" s="7" t="s">
        <v>66</v>
      </c>
      <c r="B7" s="7" t="s">
        <v>77</v>
      </c>
      <c r="C7" s="4" t="s">
        <v>78</v>
      </c>
    </row>
    <row r="8" customFormat="false" ht="15" hidden="false" customHeight="true" outlineLevel="0" collapsed="false">
      <c r="A8" s="7" t="s">
        <v>66</v>
      </c>
      <c r="B8" s="7" t="s">
        <v>79</v>
      </c>
      <c r="C8" s="4" t="s">
        <v>80</v>
      </c>
    </row>
    <row r="9" customFormat="false" ht="14.25" hidden="false" customHeight="true" outlineLevel="0" collapsed="false">
      <c r="A9" s="7" t="s">
        <v>66</v>
      </c>
      <c r="B9" s="7" t="s">
        <v>81</v>
      </c>
      <c r="C9" s="4" t="s">
        <v>82</v>
      </c>
    </row>
    <row r="10" customFormat="false" ht="15" hidden="false" customHeight="true" outlineLevel="0" collapsed="false">
      <c r="A10" s="7" t="s">
        <v>66</v>
      </c>
      <c r="B10" s="7" t="s">
        <v>83</v>
      </c>
      <c r="C10" s="4" t="s">
        <v>84</v>
      </c>
    </row>
    <row r="11" customFormat="false" ht="14.25" hidden="false" customHeight="true" outlineLevel="0" collapsed="false">
      <c r="A11" s="7" t="s">
        <v>66</v>
      </c>
      <c r="B11" s="7" t="s">
        <v>85</v>
      </c>
      <c r="C11" s="4" t="s">
        <v>86</v>
      </c>
    </row>
    <row r="12" customFormat="false" ht="14.25" hidden="false" customHeight="true" outlineLevel="0" collapsed="false">
      <c r="A12" s="7" t="s">
        <v>66</v>
      </c>
      <c r="B12" s="7" t="s">
        <v>87</v>
      </c>
      <c r="C12" s="4" t="s">
        <v>88</v>
      </c>
    </row>
    <row r="13" customFormat="false" ht="14.25" hidden="false" customHeight="true" outlineLevel="0" collapsed="false">
      <c r="A13" s="7" t="s">
        <v>66</v>
      </c>
      <c r="B13" s="7" t="s">
        <v>89</v>
      </c>
      <c r="C13" s="4" t="s">
        <v>90</v>
      </c>
    </row>
    <row r="14" customFormat="false" ht="14.25" hidden="false" customHeight="true" outlineLevel="0" collapsed="false">
      <c r="A14" s="7" t="s">
        <v>66</v>
      </c>
      <c r="B14" s="7" t="s">
        <v>91</v>
      </c>
      <c r="C14" s="4" t="s">
        <v>92</v>
      </c>
    </row>
    <row r="15" customFormat="false" ht="15" hidden="false" customHeight="true" outlineLevel="0" collapsed="false">
      <c r="A15" s="7" t="s">
        <v>66</v>
      </c>
      <c r="B15" s="7" t="s">
        <v>93</v>
      </c>
      <c r="C15" s="4" t="s">
        <v>94</v>
      </c>
    </row>
    <row r="16" customFormat="false" ht="15" hidden="false" customHeight="true" outlineLevel="0" collapsed="false">
      <c r="A16" s="7" t="s">
        <v>66</v>
      </c>
      <c r="B16" s="7" t="s">
        <v>95</v>
      </c>
      <c r="C16" s="4" t="s">
        <v>96</v>
      </c>
    </row>
    <row r="17" customFormat="false" ht="14.25" hidden="false" customHeight="true" outlineLevel="0" collapsed="false">
      <c r="A17" s="7" t="s">
        <v>66</v>
      </c>
      <c r="B17" s="7" t="s">
        <v>97</v>
      </c>
      <c r="C17" s="7" t="s">
        <v>98</v>
      </c>
    </row>
    <row r="18" customFormat="false" ht="15" hidden="false" customHeight="true" outlineLevel="0" collapsed="false">
      <c r="A18" s="7" t="s">
        <v>66</v>
      </c>
      <c r="B18" s="7" t="s">
        <v>99</v>
      </c>
      <c r="C18" s="4" t="s">
        <v>100</v>
      </c>
    </row>
    <row r="19" customFormat="false" ht="15" hidden="false" customHeight="true" outlineLevel="0" collapsed="false">
      <c r="A19" s="7" t="s">
        <v>66</v>
      </c>
      <c r="B19" s="7" t="s">
        <v>101</v>
      </c>
      <c r="C19" s="4" t="s">
        <v>102</v>
      </c>
    </row>
    <row r="20" customFormat="false" ht="15" hidden="false" customHeight="true" outlineLevel="0" collapsed="false">
      <c r="A20" s="7" t="s">
        <v>103</v>
      </c>
      <c r="B20" s="7" t="s">
        <v>104</v>
      </c>
      <c r="C20" s="4" t="s">
        <v>105</v>
      </c>
    </row>
    <row r="21" customFormat="false" ht="14.25" hidden="false" customHeight="true" outlineLevel="0" collapsed="false">
      <c r="A21" s="7" t="s">
        <v>103</v>
      </c>
      <c r="B21" s="7" t="s">
        <v>106</v>
      </c>
      <c r="C21" s="4" t="s">
        <v>107</v>
      </c>
    </row>
    <row r="22" customFormat="false" ht="14.25" hidden="false" customHeight="true" outlineLevel="0" collapsed="false">
      <c r="A22" s="7" t="s">
        <v>103</v>
      </c>
      <c r="B22" s="7" t="s">
        <v>108</v>
      </c>
      <c r="C22" s="4" t="s">
        <v>109</v>
      </c>
    </row>
    <row r="23" customFormat="false" ht="15" hidden="false" customHeight="true" outlineLevel="0" collapsed="false">
      <c r="A23" s="7" t="s">
        <v>103</v>
      </c>
      <c r="B23" s="7" t="s">
        <v>110</v>
      </c>
      <c r="C23" s="4" t="s">
        <v>111</v>
      </c>
    </row>
    <row r="24" customFormat="false" ht="14.25" hidden="false" customHeight="true" outlineLevel="0" collapsed="false">
      <c r="A24" s="7" t="s">
        <v>103</v>
      </c>
      <c r="B24" s="7" t="s">
        <v>112</v>
      </c>
      <c r="C24" s="4" t="s">
        <v>113</v>
      </c>
    </row>
    <row r="25" customFormat="false" ht="15" hidden="false" customHeight="true" outlineLevel="0" collapsed="false">
      <c r="A25" s="7" t="s">
        <v>103</v>
      </c>
      <c r="B25" s="7" t="s">
        <v>114</v>
      </c>
      <c r="C25" s="4" t="s">
        <v>115</v>
      </c>
    </row>
    <row r="26" customFormat="false" ht="14.25" hidden="false" customHeight="true" outlineLevel="0" collapsed="false">
      <c r="A26" s="7" t="s">
        <v>103</v>
      </c>
      <c r="B26" s="7" t="s">
        <v>116</v>
      </c>
      <c r="C26" s="4" t="s">
        <v>117</v>
      </c>
    </row>
    <row r="27" customFormat="false" ht="15" hidden="false" customHeight="true" outlineLevel="0" collapsed="false">
      <c r="A27" s="7" t="s">
        <v>103</v>
      </c>
      <c r="B27" s="7" t="s">
        <v>118</v>
      </c>
      <c r="C27" s="4" t="s">
        <v>119</v>
      </c>
    </row>
    <row r="28" customFormat="false" ht="15" hidden="false" customHeight="true" outlineLevel="0" collapsed="false">
      <c r="A28" s="7" t="s">
        <v>103</v>
      </c>
      <c r="B28" s="7" t="s">
        <v>120</v>
      </c>
      <c r="C28" s="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0"/>
    <col collapsed="false" customWidth="true" hidden="false" outlineLevel="0" max="3" min="3" style="1" width="10"/>
    <col collapsed="false" customWidth="true" hidden="false" outlineLevel="0" max="4" min="4" style="1" width="36"/>
  </cols>
  <sheetData>
    <row r="1" customFormat="false" ht="15" hidden="false" customHeight="true" outlineLevel="0" collapsed="false">
      <c r="A1" s="5" t="s">
        <v>122</v>
      </c>
      <c r="B1" s="5" t="s">
        <v>65</v>
      </c>
      <c r="C1" s="5" t="s">
        <v>123</v>
      </c>
      <c r="D1" s="5" t="s">
        <v>124</v>
      </c>
    </row>
    <row r="2" customFormat="false" ht="15" hidden="false" customHeight="true" outlineLevel="0" collapsed="false">
      <c r="A2" s="4" t="s">
        <v>125</v>
      </c>
      <c r="B2" s="4" t="s">
        <v>126</v>
      </c>
      <c r="C2" s="4" t="s">
        <v>127</v>
      </c>
      <c r="D2" s="7" t="s">
        <v>19</v>
      </c>
    </row>
    <row r="3" customFormat="false" ht="15" hidden="false" customHeight="true" outlineLevel="0" collapsed="false">
      <c r="A3" s="4" t="s">
        <v>125</v>
      </c>
      <c r="B3" s="4" t="s">
        <v>128</v>
      </c>
      <c r="C3" s="4" t="s">
        <v>127</v>
      </c>
      <c r="D3" s="4" t="s">
        <v>129</v>
      </c>
    </row>
    <row r="4" customFormat="false" ht="15" hidden="false" customHeight="true" outlineLevel="0" collapsed="false">
      <c r="A4" s="4" t="s">
        <v>125</v>
      </c>
      <c r="B4" s="4" t="s">
        <v>130</v>
      </c>
      <c r="C4" s="4" t="s">
        <v>127</v>
      </c>
      <c r="D4" s="7" t="s">
        <v>19</v>
      </c>
    </row>
    <row r="5" customFormat="false" ht="15" hidden="false" customHeight="true" outlineLevel="0" collapsed="false">
      <c r="A5" s="4" t="s">
        <v>125</v>
      </c>
      <c r="B5" s="4" t="s">
        <v>131</v>
      </c>
      <c r="C5" s="15" t="s">
        <v>132</v>
      </c>
      <c r="D5" s="7" t="s">
        <v>19</v>
      </c>
    </row>
    <row r="6" customFormat="false" ht="15" hidden="false" customHeight="true" outlineLevel="0" collapsed="false">
      <c r="A6" s="4" t="s">
        <v>125</v>
      </c>
      <c r="B6" s="4" t="s">
        <v>133</v>
      </c>
      <c r="C6" s="15" t="s">
        <v>132</v>
      </c>
      <c r="D6" s="4" t="s">
        <v>129</v>
      </c>
    </row>
    <row r="7" customFormat="false" ht="15" hidden="false" customHeight="true" outlineLevel="0" collapsed="false">
      <c r="A7" s="4" t="s">
        <v>45</v>
      </c>
      <c r="B7" s="4" t="s">
        <v>134</v>
      </c>
      <c r="C7" s="15" t="s">
        <v>132</v>
      </c>
      <c r="D7" s="4" t="s">
        <v>135</v>
      </c>
    </row>
    <row r="8" customFormat="false" ht="15" hidden="false" customHeight="true" outlineLevel="0" collapsed="false">
      <c r="A8" s="4" t="s">
        <v>45</v>
      </c>
      <c r="B8" s="4" t="s">
        <v>136</v>
      </c>
      <c r="C8" s="15" t="s">
        <v>132</v>
      </c>
      <c r="D8" s="4" t="s">
        <v>129</v>
      </c>
    </row>
    <row r="9" customFormat="false" ht="15" hidden="false" customHeight="true" outlineLevel="0" collapsed="false">
      <c r="A9" s="7" t="s">
        <v>137</v>
      </c>
      <c r="B9" s="4" t="s">
        <v>138</v>
      </c>
      <c r="C9" s="4" t="s">
        <v>127</v>
      </c>
      <c r="D9" s="7" t="s">
        <v>19</v>
      </c>
    </row>
    <row r="10" customFormat="false" ht="15" hidden="false" customHeight="true" outlineLevel="0" collapsed="false">
      <c r="A10" s="7" t="s">
        <v>137</v>
      </c>
      <c r="B10" s="7" t="s">
        <v>139</v>
      </c>
      <c r="C10" s="15" t="s">
        <v>132</v>
      </c>
      <c r="D10" s="7" t="s">
        <v>19</v>
      </c>
    </row>
    <row r="11" customFormat="false" ht="15" hidden="false" customHeight="true" outlineLevel="0" collapsed="false">
      <c r="A11" s="7" t="s">
        <v>137</v>
      </c>
      <c r="B11" s="4" t="s">
        <v>140</v>
      </c>
      <c r="C11" s="15" t="s">
        <v>132</v>
      </c>
      <c r="D11" s="7" t="s">
        <v>19</v>
      </c>
    </row>
    <row r="12" customFormat="false" ht="15" hidden="false" customHeight="true" outlineLevel="0" collapsed="false">
      <c r="A12" s="7" t="s">
        <v>137</v>
      </c>
      <c r="B12" s="7" t="s">
        <v>141</v>
      </c>
      <c r="C12" s="15" t="s">
        <v>132</v>
      </c>
      <c r="D12" s="7" t="s">
        <v>19</v>
      </c>
    </row>
    <row r="13" customFormat="false" ht="15" hidden="false" customHeight="true" outlineLevel="0" collapsed="false">
      <c r="A13" s="7" t="s">
        <v>137</v>
      </c>
      <c r="B13" s="4" t="s">
        <v>142</v>
      </c>
      <c r="C13" s="4" t="s">
        <v>127</v>
      </c>
      <c r="D13" s="7" t="s">
        <v>19</v>
      </c>
    </row>
    <row r="14" customFormat="false" ht="15" hidden="false" customHeight="true" outlineLevel="0" collapsed="false">
      <c r="A14" s="4" t="s">
        <v>143</v>
      </c>
      <c r="B14" s="7" t="s">
        <v>144</v>
      </c>
      <c r="C14" s="15" t="s">
        <v>132</v>
      </c>
      <c r="D14" s="7" t="s">
        <v>19</v>
      </c>
    </row>
    <row r="15" customFormat="false" ht="15" hidden="false" customHeight="true" outlineLevel="0" collapsed="false">
      <c r="A15" s="4" t="s">
        <v>143</v>
      </c>
      <c r="B15" s="4" t="s">
        <v>145</v>
      </c>
      <c r="C15" s="15" t="s">
        <v>132</v>
      </c>
      <c r="D15" s="4" t="s">
        <v>129</v>
      </c>
    </row>
    <row r="16" customFormat="false" ht="15" hidden="false" customHeight="true" outlineLevel="0" collapsed="false">
      <c r="A16" s="4" t="s">
        <v>146</v>
      </c>
      <c r="B16" s="4" t="s">
        <v>147</v>
      </c>
      <c r="C16" s="4" t="s">
        <v>127</v>
      </c>
      <c r="D16" s="7" t="s">
        <v>19</v>
      </c>
    </row>
    <row r="17" customFormat="false" ht="15" hidden="false" customHeight="true" outlineLevel="0" collapsed="false">
      <c r="A17" s="4" t="s">
        <v>146</v>
      </c>
      <c r="B17" s="4" t="s">
        <v>148</v>
      </c>
      <c r="C17" s="15" t="s">
        <v>132</v>
      </c>
      <c r="D17" s="7" t="s">
        <v>149</v>
      </c>
    </row>
    <row r="18" customFormat="false" ht="15" hidden="false" customHeight="true" outlineLevel="0" collapsed="false">
      <c r="A18" s="4" t="s">
        <v>146</v>
      </c>
      <c r="B18" s="4" t="s">
        <v>150</v>
      </c>
      <c r="C18" s="15" t="s">
        <v>132</v>
      </c>
      <c r="D18" s="7" t="s">
        <v>19</v>
      </c>
    </row>
    <row r="19" customFormat="false" ht="15" hidden="false" customHeight="true" outlineLevel="0" collapsed="false">
      <c r="A19" s="4" t="s">
        <v>151</v>
      </c>
      <c r="B19" s="4" t="s">
        <v>152</v>
      </c>
      <c r="C19" s="15" t="s">
        <v>132</v>
      </c>
      <c r="D19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2026-10-26T04:45:03Z</dcterms:created>
  <dc:creator>openpyxl</dc:creator>
  <dc:description/>
  <dc:language>en-US</dc:language>
  <cp:lastModifiedBy/>
  <dcterms:modified xsi:type="dcterms:W3CDTF">2026-10-26T23:14:22Z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